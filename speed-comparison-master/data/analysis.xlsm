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youyasushi/Desktop/UCT/Year 2/STA2005S/ED Project/speed-comparison-master/data/"/>
    </mc:Choice>
  </mc:AlternateContent>
  <xr:revisionPtr revIDLastSave="0" documentId="13_ncr:40009_{E1A9251D-39B4-1D4A-A3B4-65289F831167}" xr6:coauthVersionLast="47" xr6:coauthVersionMax="47" xr10:uidLastSave="{00000000-0000-0000-0000-000000000000}"/>
  <bookViews>
    <workbookView xWindow="5120" yWindow="3680" windowWidth="28040" windowHeight="16940"/>
  </bookViews>
  <sheets>
    <sheet name="analysis" sheetId="1" r:id="rId1"/>
  </sheets>
  <calcPr calcId="0"/>
</workbook>
</file>

<file path=xl/calcChain.xml><?xml version="1.0" encoding="utf-8"?>
<calcChain xmlns="http://schemas.openxmlformats.org/spreadsheetml/2006/main">
  <c r="O15" i="1" l="1"/>
  <c r="N15" i="1"/>
  <c r="O16" i="1"/>
  <c r="N14" i="1"/>
  <c r="O14" i="1"/>
  <c r="M14" i="1"/>
  <c r="L13" i="1"/>
  <c r="K11" i="1"/>
  <c r="L11" i="1"/>
  <c r="M11" i="1"/>
  <c r="N11" i="1"/>
  <c r="O11" i="1"/>
  <c r="O13" i="1"/>
  <c r="N13" i="1"/>
  <c r="M13" i="1"/>
  <c r="O12" i="1"/>
  <c r="N12" i="1"/>
  <c r="M12" i="1"/>
  <c r="K12" i="1"/>
  <c r="L12" i="1"/>
  <c r="J11" i="1"/>
  <c r="G12" i="1"/>
  <c r="G13" i="1"/>
  <c r="G14" i="1"/>
  <c r="G15" i="1"/>
  <c r="G16" i="1"/>
  <c r="G17" i="1"/>
  <c r="F12" i="1"/>
  <c r="F13" i="1"/>
  <c r="F14" i="1"/>
  <c r="F15" i="1"/>
  <c r="F16" i="1"/>
  <c r="F17" i="1"/>
  <c r="E12" i="1"/>
  <c r="E13" i="1"/>
  <c r="E14" i="1"/>
  <c r="E15" i="1"/>
  <c r="E16" i="1"/>
  <c r="E17" i="1"/>
  <c r="D12" i="1"/>
  <c r="D13" i="1"/>
  <c r="D14" i="1"/>
  <c r="D15" i="1"/>
  <c r="D16" i="1"/>
  <c r="D17" i="1"/>
  <c r="C12" i="1"/>
  <c r="C13" i="1"/>
  <c r="C14" i="1"/>
  <c r="C15" i="1"/>
  <c r="C16" i="1"/>
  <c r="C17" i="1"/>
  <c r="C11" i="1"/>
  <c r="D11" i="1"/>
  <c r="E11" i="1"/>
  <c r="F11" i="1"/>
  <c r="G11" i="1"/>
  <c r="B12" i="1"/>
  <c r="B13" i="1"/>
  <c r="B14" i="1"/>
  <c r="B15" i="1"/>
  <c r="B16" i="1"/>
  <c r="B17" i="1"/>
  <c r="B11" i="1"/>
  <c r="N2" i="1"/>
  <c r="J2" i="1"/>
  <c r="K2" i="1"/>
  <c r="L2" i="1"/>
  <c r="M2" i="1"/>
  <c r="I2" i="1"/>
</calcChain>
</file>

<file path=xl/sharedStrings.xml><?xml version="1.0" encoding="utf-8"?>
<sst xmlns="http://schemas.openxmlformats.org/spreadsheetml/2006/main" count="53" uniqueCount="15">
  <si>
    <t>Hardware</t>
  </si>
  <si>
    <t>C</t>
  </si>
  <si>
    <t>CPP</t>
  </si>
  <si>
    <t>Java</t>
  </si>
  <si>
    <t>Python</t>
  </si>
  <si>
    <t>Ruby</t>
  </si>
  <si>
    <t>R</t>
  </si>
  <si>
    <t>MiddleTROld</t>
  </si>
  <si>
    <t>MiddleTRNew</t>
  </si>
  <si>
    <t>ScilabB</t>
  </si>
  <si>
    <t>ASUS(i5)</t>
  </si>
  <si>
    <t>HP(i5-7200)</t>
  </si>
  <si>
    <t>ScilabD</t>
  </si>
  <si>
    <t>LT</t>
  </si>
  <si>
    <t>DIFFERNCE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</si>
</sst>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7"/>
  <sheetViews>
    <sheetView tabSelected="1" topLeftCell="A3" zoomScaleNormal="100" workbookViewId="0">
      <selection activeCell="H9" sqref="H9"/>
    </sheetView>
  </sheetViews>
  <sheetFormatPr baseColWidth="10" defaultRowHeight="16" x14ac:dyDescent="0.2"/>
  <sheetData>
    <row r="1" spans="1:1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N1" t="s">
        <v>6</v>
      </c>
    </row>
    <row r="2" spans="1:15" x14ac:dyDescent="0.2">
      <c r="A2" t="s">
        <v>7</v>
      </c>
      <c r="B2">
        <v>1344.992</v>
      </c>
      <c r="C2">
        <v>1344.3489999999999</v>
      </c>
      <c r="D2">
        <v>3353.212</v>
      </c>
      <c r="E2">
        <v>7990.5619999999999</v>
      </c>
      <c r="F2">
        <v>26232.89</v>
      </c>
      <c r="G2">
        <v>5655.1940000000004</v>
      </c>
      <c r="I2">
        <f>AVERAGE(B2:B8)</f>
        <v>547.19156714285702</v>
      </c>
      <c r="J2">
        <f t="shared" ref="J2:M2" si="0">AVERAGE(C2:C8)</f>
        <v>524.75903014285711</v>
      </c>
      <c r="K2">
        <f t="shared" si="0"/>
        <v>1312.2585677142856</v>
      </c>
      <c r="L2">
        <f t="shared" si="0"/>
        <v>5336.5794599999999</v>
      </c>
      <c r="M2">
        <f t="shared" si="0"/>
        <v>15774.973385714286</v>
      </c>
      <c r="N2">
        <f>AVERAGE(G2:G8)</f>
        <v>2570.9085014285715</v>
      </c>
    </row>
    <row r="3" spans="1:15" x14ac:dyDescent="0.2">
      <c r="A3" t="s">
        <v>8</v>
      </c>
      <c r="B3">
        <v>252.16739999999999</v>
      </c>
      <c r="C3">
        <v>254.36340000000001</v>
      </c>
      <c r="D3">
        <v>762.21339999999998</v>
      </c>
      <c r="E3">
        <v>3173.9569999999999</v>
      </c>
      <c r="F3">
        <v>8095.8739999999998</v>
      </c>
      <c r="G3">
        <v>1839.1389999999999</v>
      </c>
    </row>
    <row r="4" spans="1:15" x14ac:dyDescent="0.2">
      <c r="A4" t="s">
        <v>9</v>
      </c>
      <c r="B4">
        <v>408.04309999999998</v>
      </c>
      <c r="C4">
        <v>371.15089999999998</v>
      </c>
      <c r="D4">
        <v>721.45989999999995</v>
      </c>
      <c r="E4">
        <v>3261.8879999999999</v>
      </c>
      <c r="F4">
        <v>8531.1450000000004</v>
      </c>
      <c r="G4">
        <v>1788.42</v>
      </c>
      <c r="I4" s="1" t="s">
        <v>1</v>
      </c>
      <c r="J4" s="1" t="s">
        <v>2</v>
      </c>
      <c r="K4" s="1" t="s">
        <v>3</v>
      </c>
      <c r="L4" s="1" t="s">
        <v>4</v>
      </c>
      <c r="M4" s="1" t="s">
        <v>5</v>
      </c>
      <c r="N4" s="1" t="s">
        <v>6</v>
      </c>
      <c r="O4" s="1"/>
    </row>
    <row r="5" spans="1:15" x14ac:dyDescent="0.2">
      <c r="A5" t="s">
        <v>10</v>
      </c>
      <c r="B5">
        <v>407.40763600000002</v>
      </c>
      <c r="C5">
        <v>403.17772500000001</v>
      </c>
      <c r="D5">
        <v>1242.9700499999999</v>
      </c>
      <c r="E5">
        <v>6568.4560000000001</v>
      </c>
      <c r="F5">
        <v>22522.671699999999</v>
      </c>
      <c r="G5">
        <v>1973.2637199999999</v>
      </c>
      <c r="I5" s="1">
        <v>2.7381394000000001</v>
      </c>
      <c r="J5" s="1">
        <v>2.71995992</v>
      </c>
      <c r="K5" s="1">
        <v>3.11801942</v>
      </c>
      <c r="L5" s="1">
        <v>3.7272629799999999</v>
      </c>
      <c r="M5" s="1">
        <v>4.19796864</v>
      </c>
      <c r="N5" s="1">
        <v>3.41008662</v>
      </c>
      <c r="O5" s="1"/>
    </row>
    <row r="6" spans="1:15" x14ac:dyDescent="0.2">
      <c r="A6" t="s">
        <v>11</v>
      </c>
      <c r="B6">
        <v>361.32194399999997</v>
      </c>
      <c r="C6">
        <v>362.62040500000001</v>
      </c>
      <c r="D6">
        <v>1184.7958000000001</v>
      </c>
      <c r="E6">
        <v>6678.19121</v>
      </c>
      <c r="F6">
        <v>19866.370900000002</v>
      </c>
      <c r="G6">
        <v>1937.38752</v>
      </c>
    </row>
    <row r="7" spans="1:15" x14ac:dyDescent="0.2">
      <c r="A7" t="s">
        <v>12</v>
      </c>
      <c r="B7">
        <v>475.201776</v>
      </c>
      <c r="C7">
        <v>459.99248999999998</v>
      </c>
      <c r="D7">
        <v>901.88521400000002</v>
      </c>
      <c r="E7">
        <v>4609.0205999999998</v>
      </c>
      <c r="F7">
        <v>11993.048699999999</v>
      </c>
      <c r="G7">
        <v>2317.3617100000001</v>
      </c>
    </row>
    <row r="8" spans="1:15" x14ac:dyDescent="0.2">
      <c r="A8" t="s">
        <v>13</v>
      </c>
      <c r="B8">
        <v>581.20711400000005</v>
      </c>
      <c r="C8">
        <v>477.659291</v>
      </c>
      <c r="D8">
        <v>1019.27361</v>
      </c>
      <c r="E8">
        <v>5073.9814100000003</v>
      </c>
      <c r="F8">
        <v>13182.813399999999</v>
      </c>
      <c r="G8">
        <v>2485.5935599999998</v>
      </c>
    </row>
    <row r="10" spans="1:15" x14ac:dyDescent="0.2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6</v>
      </c>
      <c r="I10" t="s">
        <v>14</v>
      </c>
      <c r="J10" s="1" t="s">
        <v>1</v>
      </c>
      <c r="K10" s="1" t="s">
        <v>2</v>
      </c>
      <c r="L10" s="1" t="s">
        <v>3</v>
      </c>
      <c r="M10" s="1" t="s">
        <v>4</v>
      </c>
      <c r="N10" s="1" t="s">
        <v>5</v>
      </c>
      <c r="O10" s="1" t="s">
        <v>6</v>
      </c>
    </row>
    <row r="11" spans="1:15" x14ac:dyDescent="0.2">
      <c r="A11" t="s">
        <v>7</v>
      </c>
      <c r="B11">
        <f>LOG(B2)</f>
        <v>3.1287197011665397</v>
      </c>
      <c r="C11">
        <f t="shared" ref="C11:G11" si="1">LOG(C2)</f>
        <v>3.1285120284636845</v>
      </c>
      <c r="D11">
        <f t="shared" si="1"/>
        <v>3.5254610116810179</v>
      </c>
      <c r="E11">
        <f t="shared" si="1"/>
        <v>3.9025773256112908</v>
      </c>
      <c r="F11">
        <f t="shared" si="1"/>
        <v>4.4188461381661917</v>
      </c>
      <c r="G11">
        <f t="shared" si="1"/>
        <v>3.7524475078793929</v>
      </c>
      <c r="I11" t="s">
        <v>1</v>
      </c>
      <c r="J11">
        <f>ABS(SUM(I5-I5))</f>
        <v>0</v>
      </c>
      <c r="K11">
        <f>ABS(SUM(I5-J5))</f>
        <v>1.8179480000000137E-2</v>
      </c>
      <c r="L11">
        <f>ABS(SUM(I5-K5))</f>
        <v>0.37988001999999987</v>
      </c>
      <c r="M11">
        <f>ABS(SUM(I5-L5))</f>
        <v>0.98912357999999978</v>
      </c>
      <c r="N11">
        <f>ABS(SUM(I5-M5))</f>
        <v>1.4598292399999999</v>
      </c>
      <c r="O11">
        <f>ABS(SUM(I5-N5))</f>
        <v>0.67194721999999985</v>
      </c>
    </row>
    <row r="12" spans="1:15" x14ac:dyDescent="0.2">
      <c r="A12" t="s">
        <v>8</v>
      </c>
      <c r="B12">
        <f t="shared" ref="B12:G17" si="2">LOG(B3)</f>
        <v>2.4016889406223201</v>
      </c>
      <c r="C12">
        <f t="shared" si="2"/>
        <v>2.4054546214356907</v>
      </c>
      <c r="D12">
        <f t="shared" si="2"/>
        <v>2.8820765795645955</v>
      </c>
      <c r="E12">
        <f t="shared" si="2"/>
        <v>3.5016010387423262</v>
      </c>
      <c r="F12">
        <f t="shared" si="2"/>
        <v>3.908263740413394</v>
      </c>
      <c r="G12">
        <f t="shared" si="2"/>
        <v>3.2646145539535181</v>
      </c>
      <c r="I12" t="s">
        <v>2</v>
      </c>
      <c r="K12">
        <f>ABS(SUM(J5-J5))</f>
        <v>0</v>
      </c>
      <c r="L12">
        <f>ABS(SUM(J5-K5))</f>
        <v>0.39805950000000001</v>
      </c>
      <c r="M12">
        <f>ABS(SUM(J5-L5))</f>
        <v>1.0073030599999999</v>
      </c>
      <c r="N12">
        <f>ABS(SUM(J5-M5))</f>
        <v>1.4780087200000001</v>
      </c>
      <c r="O12">
        <f>ABS(SUM(J5-N5))</f>
        <v>0.69012669999999998</v>
      </c>
    </row>
    <row r="13" spans="1:15" x14ac:dyDescent="0.2">
      <c r="A13" t="s">
        <v>9</v>
      </c>
      <c r="B13">
        <f t="shared" si="2"/>
        <v>2.6107060383437419</v>
      </c>
      <c r="C13">
        <f t="shared" si="2"/>
        <v>2.5695505180062028</v>
      </c>
      <c r="D13">
        <f t="shared" si="2"/>
        <v>2.8582121972552939</v>
      </c>
      <c r="E13">
        <f t="shared" si="2"/>
        <v>3.513469045049741</v>
      </c>
      <c r="F13">
        <f t="shared" si="2"/>
        <v>3.9310073235251024</v>
      </c>
      <c r="G13">
        <f t="shared" si="2"/>
        <v>3.252469517962417</v>
      </c>
      <c r="I13" t="s">
        <v>3</v>
      </c>
      <c r="L13">
        <f>ABS(SUM(K5-K5))</f>
        <v>0</v>
      </c>
      <c r="M13">
        <f>ABS(SUM(K5-L5))</f>
        <v>0.60924355999999991</v>
      </c>
      <c r="N13">
        <f>ABS(SUM(K5-M5))</f>
        <v>1.07994922</v>
      </c>
      <c r="O13">
        <f>ABS(SUM(K5-N5))</f>
        <v>0.29206719999999997</v>
      </c>
    </row>
    <row r="14" spans="1:15" x14ac:dyDescent="0.2">
      <c r="A14" t="s">
        <v>10</v>
      </c>
      <c r="B14">
        <f t="shared" si="2"/>
        <v>2.6100291646778548</v>
      </c>
      <c r="C14">
        <f t="shared" si="2"/>
        <v>2.6054965299433857</v>
      </c>
      <c r="D14">
        <f t="shared" si="2"/>
        <v>3.0944606642197314</v>
      </c>
      <c r="E14">
        <f t="shared" si="2"/>
        <v>3.8174632950567879</v>
      </c>
      <c r="F14">
        <f t="shared" si="2"/>
        <v>4.3526199064166686</v>
      </c>
      <c r="G14">
        <f t="shared" si="2"/>
        <v>3.2951851311148421</v>
      </c>
      <c r="I14" t="s">
        <v>4</v>
      </c>
      <c r="M14">
        <f>ABS(SUM(L5-L5))</f>
        <v>0</v>
      </c>
      <c r="N14">
        <f>ABS(SUM(L5-M5))</f>
        <v>0.47070566000000014</v>
      </c>
      <c r="O14">
        <f>ABS(SUM(L5-N5))</f>
        <v>0.31717635999999994</v>
      </c>
    </row>
    <row r="15" spans="1:15" x14ac:dyDescent="0.2">
      <c r="A15" t="s">
        <v>11</v>
      </c>
      <c r="B15">
        <f t="shared" si="2"/>
        <v>2.5578943381766845</v>
      </c>
      <c r="C15">
        <f t="shared" si="2"/>
        <v>2.559452238616545</v>
      </c>
      <c r="D15">
        <f t="shared" si="2"/>
        <v>3.0736435059790055</v>
      </c>
      <c r="E15">
        <f t="shared" si="2"/>
        <v>3.8246588496178804</v>
      </c>
      <c r="F15">
        <f t="shared" si="2"/>
        <v>4.2981185393769117</v>
      </c>
      <c r="G15">
        <f t="shared" si="2"/>
        <v>3.2872164978305611</v>
      </c>
      <c r="I15" t="s">
        <v>5</v>
      </c>
      <c r="N15">
        <f>ABS(SUM(M5-M5))</f>
        <v>0</v>
      </c>
      <c r="O15">
        <f>ABS(SUM(M5-N5))</f>
        <v>0.78788202000000007</v>
      </c>
    </row>
    <row r="16" spans="1:15" x14ac:dyDescent="0.2">
      <c r="A16" t="s">
        <v>12</v>
      </c>
      <c r="B16">
        <f t="shared" si="2"/>
        <v>2.6768780550908948</v>
      </c>
      <c r="C16">
        <f t="shared" si="2"/>
        <v>2.6627507412942184</v>
      </c>
      <c r="D16">
        <f t="shared" si="2"/>
        <v>2.9551512669226363</v>
      </c>
      <c r="E16">
        <f t="shared" si="2"/>
        <v>3.6636086492063895</v>
      </c>
      <c r="F16">
        <f t="shared" si="2"/>
        <v>4.0789295972176429</v>
      </c>
      <c r="G16">
        <f t="shared" si="2"/>
        <v>3.3649938267967361</v>
      </c>
      <c r="I16" t="s">
        <v>6</v>
      </c>
      <c r="O16">
        <f>ABS(SUM(M7-N7))</f>
        <v>0</v>
      </c>
    </row>
    <row r="17" spans="1:7" x14ac:dyDescent="0.2">
      <c r="A17" t="s">
        <v>13</v>
      </c>
      <c r="B17">
        <f t="shared" si="2"/>
        <v>2.7643309214415996</v>
      </c>
      <c r="C17">
        <f t="shared" si="2"/>
        <v>2.6791182296705687</v>
      </c>
      <c r="D17">
        <f t="shared" si="2"/>
        <v>3.0082907800446859</v>
      </c>
      <c r="E17">
        <f t="shared" si="2"/>
        <v>3.705348871725048</v>
      </c>
      <c r="F17">
        <f t="shared" si="2"/>
        <v>4.1200081047729116</v>
      </c>
      <c r="G17">
        <f t="shared" si="2"/>
        <v>3.3954301150215853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Jing Yeh</cp:lastModifiedBy>
  <dcterms:created xsi:type="dcterms:W3CDTF">2024-09-14T08:57:28Z</dcterms:created>
  <dcterms:modified xsi:type="dcterms:W3CDTF">2024-09-14T10:10:44Z</dcterms:modified>
</cp:coreProperties>
</file>